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0193D81-86FA-4BED-953C-6FE1A58BCA21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8" i="1" l="1"/>
  <c r="C49" i="1"/>
  <c r="D44" i="1"/>
  <c r="C45" i="1"/>
  <c r="D40" i="1"/>
  <c r="C41" i="1"/>
  <c r="C48" i="1"/>
  <c r="C44" i="1"/>
  <c r="C40" i="1"/>
  <c r="D32" i="1"/>
  <c r="D35" i="1"/>
  <c r="D30" i="1"/>
  <c r="B35" i="1"/>
  <c r="B32" i="1"/>
  <c r="B30" i="1"/>
  <c r="D16" i="1"/>
  <c r="D15" i="1"/>
  <c r="D10" i="1"/>
  <c r="D9" i="1"/>
  <c r="D5" i="1"/>
  <c r="D4" i="1"/>
  <c r="D26" i="1"/>
  <c r="D23" i="1"/>
  <c r="D20" i="1"/>
  <c r="B26" i="1"/>
  <c r="B23" i="1"/>
  <c r="B20" i="1"/>
  <c r="C15" i="1"/>
  <c r="C16" i="1"/>
  <c r="C14" i="1"/>
  <c r="C9" i="1"/>
  <c r="C10" i="1"/>
  <c r="C8" i="1"/>
  <c r="C4" i="1"/>
  <c r="C5" i="1"/>
  <c r="C3" i="1"/>
</calcChain>
</file>

<file path=xl/sharedStrings.xml><?xml version="1.0" encoding="utf-8"?>
<sst xmlns="http://schemas.openxmlformats.org/spreadsheetml/2006/main" count="53" uniqueCount="22">
  <si>
    <t>apple_uzbb</t>
  </si>
  <si>
    <t>17 pro orange 256</t>
  </si>
  <si>
    <t>НВ</t>
  </si>
  <si>
    <t>12 мес</t>
  </si>
  <si>
    <t>24 мес</t>
  </si>
  <si>
    <t>$</t>
  </si>
  <si>
    <t>sum</t>
  </si>
  <si>
    <t>17 pro max</t>
  </si>
  <si>
    <t>TAQSEET</t>
  </si>
  <si>
    <t>17 air e-sim</t>
  </si>
  <si>
    <t>6 мес</t>
  </si>
  <si>
    <t>9 мес</t>
  </si>
  <si>
    <t>phonetime.uz</t>
  </si>
  <si>
    <t>17 pro 512</t>
  </si>
  <si>
    <t>17 pro max 512</t>
  </si>
  <si>
    <t xml:space="preserve">17 air 512 </t>
  </si>
  <si>
    <t>Icloud and box stay with you</t>
  </si>
  <si>
    <t>baho_market</t>
  </si>
  <si>
    <t>credomobile.uz</t>
  </si>
  <si>
    <t>17 air 512</t>
  </si>
  <si>
    <t>icloud и коробку заберут</t>
  </si>
  <si>
    <t>бош тулов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</si>
</sst>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₽_-;\-* #,##0.00\ _₽_-;_-* &quot;-&quot;??\ _₽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1" applyNumberFormat="0" applyAlignment="0" applyProtection="0"/>
  </cellStyleXfs>
  <cellXfs count="50">
    <xf numFmtId="0" fontId="0" fillId="0" borderId="0" xfId="0"/>
    <xf numFmtId="43" fontId="0" fillId="0" borderId="0" xfId="1" applyFont="1"/>
    <xf numFmtId="0" fontId="0" fillId="4" borderId="2" xfId="0" applyFill="1" applyBorder="1"/>
    <xf numFmtId="0" fontId="0" fillId="4" borderId="2" xfId="0" applyFill="1" applyBorder="1" applyAlignment="1">
      <alignment horizontal="center" vertical="center"/>
    </xf>
    <xf numFmtId="43" fontId="0" fillId="4" borderId="2" xfId="1" applyFont="1" applyFill="1" applyBorder="1" applyAlignment="1">
      <alignment horizontal="center" vertical="center"/>
    </xf>
    <xf numFmtId="43" fontId="0" fillId="4" borderId="2" xfId="1" applyFont="1" applyFill="1" applyBorder="1"/>
    <xf numFmtId="0" fontId="0" fillId="5" borderId="2" xfId="0" applyFill="1" applyBorder="1" applyAlignment="1">
      <alignment horizontal="center" vertical="center"/>
    </xf>
    <xf numFmtId="43" fontId="0" fillId="5" borderId="2" xfId="1" applyFont="1" applyFill="1" applyBorder="1" applyAlignment="1">
      <alignment horizontal="center" vertical="center"/>
    </xf>
    <xf numFmtId="0" fontId="0" fillId="5" borderId="2" xfId="0" applyFill="1" applyBorder="1"/>
    <xf numFmtId="43" fontId="0" fillId="5" borderId="2" xfId="1" applyFont="1" applyFill="1" applyBorder="1"/>
    <xf numFmtId="0" fontId="0" fillId="6" borderId="2" xfId="0" applyFill="1" applyBorder="1" applyAlignment="1">
      <alignment horizontal="center" vertical="center"/>
    </xf>
    <xf numFmtId="43" fontId="0" fillId="6" borderId="2" xfId="1" applyFont="1" applyFill="1" applyBorder="1" applyAlignment="1">
      <alignment horizontal="center" vertical="center"/>
    </xf>
    <xf numFmtId="0" fontId="0" fillId="6" borderId="2" xfId="0" applyFill="1" applyBorder="1"/>
    <xf numFmtId="43" fontId="0" fillId="6" borderId="2" xfId="1" applyFont="1" applyFill="1" applyBorder="1"/>
    <xf numFmtId="164" fontId="0" fillId="6" borderId="2" xfId="0" applyNumberFormat="1" applyFill="1" applyBorder="1"/>
    <xf numFmtId="0" fontId="0" fillId="6" borderId="2" xfId="0" applyFill="1" applyBorder="1" applyAlignment="1">
      <alignment horizontal="center" vertical="center" wrapText="1"/>
    </xf>
    <xf numFmtId="164" fontId="0" fillId="5" borderId="2" xfId="0" applyNumberFormat="1" applyFill="1" applyBorder="1"/>
    <xf numFmtId="164" fontId="0" fillId="4" borderId="2" xfId="0" applyNumberFormat="1" applyFill="1" applyBorder="1"/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2" fillId="2" borderId="2" xfId="2" applyBorder="1"/>
    <xf numFmtId="0" fontId="2" fillId="2" borderId="2" xfId="2" applyBorder="1" applyAlignment="1">
      <alignment horizontal="center" vertical="center"/>
    </xf>
    <xf numFmtId="43" fontId="2" fillId="2" borderId="2" xfId="2" applyNumberFormat="1" applyBorder="1" applyAlignment="1">
      <alignment horizontal="center" vertical="center"/>
    </xf>
    <xf numFmtId="0" fontId="2" fillId="2" borderId="3" xfId="2" applyBorder="1" applyAlignment="1">
      <alignment horizontal="center" vertical="center" wrapText="1"/>
    </xf>
    <xf numFmtId="0" fontId="2" fillId="2" borderId="4" xfId="2" applyBorder="1" applyAlignment="1">
      <alignment horizontal="center" vertical="center" wrapText="1"/>
    </xf>
    <xf numFmtId="43" fontId="2" fillId="2" borderId="2" xfId="2" applyNumberFormat="1" applyBorder="1"/>
    <xf numFmtId="0" fontId="2" fillId="2" borderId="5" xfId="2" applyBorder="1" applyAlignment="1">
      <alignment horizontal="center" vertical="center" wrapText="1"/>
    </xf>
    <xf numFmtId="0" fontId="2" fillId="2" borderId="6" xfId="2" applyBorder="1" applyAlignment="1">
      <alignment horizontal="center" vertical="center" wrapText="1"/>
    </xf>
    <xf numFmtId="164" fontId="2" fillId="2" borderId="2" xfId="2" applyNumberFormat="1" applyBorder="1"/>
    <xf numFmtId="0" fontId="2" fillId="2" borderId="7" xfId="2" applyBorder="1" applyAlignment="1">
      <alignment horizontal="center" vertical="center" wrapText="1"/>
    </xf>
    <xf numFmtId="0" fontId="2" fillId="2" borderId="8" xfId="2" applyBorder="1" applyAlignment="1">
      <alignment horizontal="center" vertical="center" wrapText="1"/>
    </xf>
    <xf numFmtId="0" fontId="3" fillId="3" borderId="1" xfId="3"/>
    <xf numFmtId="43" fontId="3" fillId="3" borderId="1" xfId="3" applyNumberFormat="1"/>
    <xf numFmtId="0" fontId="3" fillId="3" borderId="2" xfId="3" applyBorder="1"/>
    <xf numFmtId="0" fontId="3" fillId="3" borderId="2" xfId="3" applyBorder="1" applyAlignment="1">
      <alignment horizontal="center" vertical="center"/>
    </xf>
    <xf numFmtId="43" fontId="3" fillId="3" borderId="2" xfId="3" applyNumberFormat="1" applyBorder="1" applyAlignment="1">
      <alignment horizontal="center" vertical="center"/>
    </xf>
    <xf numFmtId="0" fontId="3" fillId="3" borderId="2" xfId="3" applyBorder="1" applyAlignment="1">
      <alignment horizontal="center" vertical="center" wrapText="1"/>
    </xf>
    <xf numFmtId="43" fontId="3" fillId="3" borderId="2" xfId="3" applyNumberFormat="1" applyBorder="1"/>
    <xf numFmtId="164" fontId="3" fillId="3" borderId="2" xfId="3" applyNumberFormat="1" applyBorder="1"/>
    <xf numFmtId="164" fontId="3" fillId="3" borderId="1" xfId="3" applyNumberFormat="1"/>
  </cellXfs>
  <cellStyles count="4">
    <cellStyle name="Вывод" xfId="3" builtinId="21"/>
    <cellStyle name="Обычный" xfId="0" builtinId="0"/>
    <cellStyle name="Финансовый" xfId="1" builtinId="3"/>
    <cellStyle name="Хороший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topLeftCell="A34" zoomScale="220" zoomScaleNormal="220" workbookViewId="0">
      <selection activeCell="D39" sqref="D39"/>
    </sheetView>
  </sheetViews>
  <sheetFormatPr defaultRowHeight="14.4" x14ac:dyDescent="0.3"/>
  <cols>
    <col min="1" max="1" width="15.88671875" bestFit="1" customWidth="1"/>
    <col min="2" max="2" width="9.21875" bestFit="1" customWidth="1"/>
    <col min="3" max="3" width="12.77734375" style="1" bestFit="1" customWidth="1"/>
    <col min="4" max="4" width="15.44140625" bestFit="1" customWidth="1"/>
  </cols>
  <sheetData>
    <row r="1" spans="1:6" x14ac:dyDescent="0.3">
      <c r="A1" s="2" t="s">
        <v>0</v>
      </c>
      <c r="B1" s="3" t="s">
        <v>5</v>
      </c>
      <c r="C1" s="4" t="s">
        <v>6</v>
      </c>
      <c r="D1" s="2"/>
      <c r="E1" s="18" t="s">
        <v>20</v>
      </c>
      <c r="F1" s="19"/>
    </row>
    <row r="2" spans="1:6" x14ac:dyDescent="0.3">
      <c r="A2" s="2" t="s">
        <v>1</v>
      </c>
      <c r="B2" s="2"/>
      <c r="C2" s="5"/>
      <c r="D2" s="2"/>
      <c r="E2" s="20"/>
      <c r="F2" s="21"/>
    </row>
    <row r="3" spans="1:6" x14ac:dyDescent="0.3">
      <c r="A3" s="2" t="s">
        <v>2</v>
      </c>
      <c r="B3" s="2">
        <v>200</v>
      </c>
      <c r="C3" s="5">
        <f>B3*12000</f>
        <v>2400000</v>
      </c>
      <c r="D3" s="2"/>
      <c r="E3" s="20"/>
      <c r="F3" s="21"/>
    </row>
    <row r="4" spans="1:6" x14ac:dyDescent="0.3">
      <c r="A4" s="2" t="s">
        <v>3</v>
      </c>
      <c r="B4" s="2">
        <v>130</v>
      </c>
      <c r="C4" s="5">
        <f t="shared" ref="C4:C5" si="0">B4*12000</f>
        <v>1560000</v>
      </c>
      <c r="D4" s="17">
        <f>C4*12</f>
        <v>18720000</v>
      </c>
      <c r="E4" s="20"/>
      <c r="F4" s="21"/>
    </row>
    <row r="5" spans="1:6" x14ac:dyDescent="0.3">
      <c r="A5" s="2" t="s">
        <v>4</v>
      </c>
      <c r="B5" s="2">
        <v>70</v>
      </c>
      <c r="C5" s="5">
        <f t="shared" si="0"/>
        <v>840000</v>
      </c>
      <c r="D5" s="17">
        <f>C5*24</f>
        <v>20160000</v>
      </c>
      <c r="E5" s="20"/>
      <c r="F5" s="21"/>
    </row>
    <row r="6" spans="1:6" x14ac:dyDescent="0.3">
      <c r="A6" s="2"/>
      <c r="B6" s="2"/>
      <c r="C6" s="5"/>
      <c r="D6" s="2"/>
      <c r="E6" s="20"/>
      <c r="F6" s="21"/>
    </row>
    <row r="7" spans="1:6" x14ac:dyDescent="0.3">
      <c r="A7" s="2" t="s">
        <v>7</v>
      </c>
      <c r="B7" s="2"/>
      <c r="C7" s="5"/>
      <c r="D7" s="2"/>
      <c r="E7" s="20"/>
      <c r="F7" s="21"/>
    </row>
    <row r="8" spans="1:6" x14ac:dyDescent="0.3">
      <c r="A8" s="2" t="s">
        <v>2</v>
      </c>
      <c r="B8" s="2">
        <v>300</v>
      </c>
      <c r="C8" s="5">
        <f>B8*12000</f>
        <v>3600000</v>
      </c>
      <c r="D8" s="2"/>
      <c r="E8" s="20"/>
      <c r="F8" s="21"/>
    </row>
    <row r="9" spans="1:6" x14ac:dyDescent="0.3">
      <c r="A9" s="2" t="s">
        <v>3</v>
      </c>
      <c r="B9" s="2">
        <v>150</v>
      </c>
      <c r="C9" s="5">
        <f t="shared" ref="C9:C10" si="1">B9*12000</f>
        <v>1800000</v>
      </c>
      <c r="D9" s="17">
        <f>C9*12</f>
        <v>21600000</v>
      </c>
      <c r="E9" s="20"/>
      <c r="F9" s="21"/>
    </row>
    <row r="10" spans="1:6" x14ac:dyDescent="0.3">
      <c r="A10" s="2" t="s">
        <v>4</v>
      </c>
      <c r="B10" s="2">
        <v>80</v>
      </c>
      <c r="C10" s="5">
        <f t="shared" si="1"/>
        <v>960000</v>
      </c>
      <c r="D10" s="17">
        <f>C10*24</f>
        <v>23040000</v>
      </c>
      <c r="E10" s="22"/>
      <c r="F10" s="23"/>
    </row>
    <row r="12" spans="1:6" x14ac:dyDescent="0.3">
      <c r="A12" s="8" t="s">
        <v>8</v>
      </c>
      <c r="B12" s="6" t="s">
        <v>5</v>
      </c>
      <c r="C12" s="7" t="s">
        <v>6</v>
      </c>
      <c r="D12" s="8"/>
      <c r="E12" s="24" t="s">
        <v>20</v>
      </c>
      <c r="F12" s="25"/>
    </row>
    <row r="13" spans="1:6" x14ac:dyDescent="0.3">
      <c r="A13" s="8" t="s">
        <v>9</v>
      </c>
      <c r="B13" s="8"/>
      <c r="C13" s="9"/>
      <c r="D13" s="8"/>
      <c r="E13" s="26"/>
      <c r="F13" s="27"/>
    </row>
    <row r="14" spans="1:6" x14ac:dyDescent="0.3">
      <c r="A14" s="8" t="s">
        <v>2</v>
      </c>
      <c r="B14" s="8">
        <v>190</v>
      </c>
      <c r="C14" s="9">
        <f>B14*12000</f>
        <v>2280000</v>
      </c>
      <c r="D14" s="8"/>
      <c r="E14" s="26"/>
      <c r="F14" s="27"/>
    </row>
    <row r="15" spans="1:6" x14ac:dyDescent="0.3">
      <c r="A15" s="8" t="s">
        <v>10</v>
      </c>
      <c r="B15" s="8">
        <v>211</v>
      </c>
      <c r="C15" s="9">
        <f t="shared" ref="C15:C16" si="2">B15*12000</f>
        <v>2532000</v>
      </c>
      <c r="D15" s="16">
        <f>C15*6</f>
        <v>15192000</v>
      </c>
      <c r="E15" s="26"/>
      <c r="F15" s="27"/>
    </row>
    <row r="16" spans="1:6" x14ac:dyDescent="0.3">
      <c r="A16" s="8" t="s">
        <v>11</v>
      </c>
      <c r="B16" s="8">
        <v>156</v>
      </c>
      <c r="C16" s="9">
        <f t="shared" si="2"/>
        <v>1872000</v>
      </c>
      <c r="D16" s="16">
        <f>C16*9</f>
        <v>16848000</v>
      </c>
      <c r="E16" s="28"/>
      <c r="F16" s="29"/>
    </row>
    <row r="18" spans="1:6" x14ac:dyDescent="0.3">
      <c r="A18" s="12" t="s">
        <v>12</v>
      </c>
      <c r="B18" s="10" t="s">
        <v>5</v>
      </c>
      <c r="C18" s="11" t="s">
        <v>6</v>
      </c>
      <c r="D18" s="12"/>
      <c r="E18" s="15" t="s">
        <v>16</v>
      </c>
      <c r="F18" s="15"/>
    </row>
    <row r="19" spans="1:6" x14ac:dyDescent="0.3">
      <c r="A19" s="12" t="s">
        <v>13</v>
      </c>
      <c r="B19" s="12"/>
      <c r="C19" s="13"/>
      <c r="D19" s="12"/>
      <c r="E19" s="15"/>
      <c r="F19" s="15"/>
    </row>
    <row r="20" spans="1:6" x14ac:dyDescent="0.3">
      <c r="A20" s="12" t="s">
        <v>3</v>
      </c>
      <c r="B20" s="14">
        <f>C20/12000</f>
        <v>232.5</v>
      </c>
      <c r="C20" s="13">
        <v>2790000</v>
      </c>
      <c r="D20" s="14">
        <f>C20*12</f>
        <v>33480000</v>
      </c>
      <c r="E20" s="15"/>
      <c r="F20" s="15"/>
    </row>
    <row r="21" spans="1:6" x14ac:dyDescent="0.3">
      <c r="A21" s="12"/>
      <c r="B21" s="12"/>
      <c r="C21" s="13"/>
      <c r="D21" s="14"/>
      <c r="E21" s="15"/>
      <c r="F21" s="15"/>
    </row>
    <row r="22" spans="1:6" x14ac:dyDescent="0.3">
      <c r="A22" s="12" t="s">
        <v>14</v>
      </c>
      <c r="B22" s="12"/>
      <c r="C22" s="13"/>
      <c r="D22" s="14"/>
      <c r="E22" s="15"/>
      <c r="F22" s="15"/>
    </row>
    <row r="23" spans="1:6" x14ac:dyDescent="0.3">
      <c r="A23" s="12" t="s">
        <v>3</v>
      </c>
      <c r="B23" s="14">
        <f>C23/12000</f>
        <v>247.5</v>
      </c>
      <c r="C23" s="13">
        <v>2970000</v>
      </c>
      <c r="D23" s="14">
        <f t="shared" ref="D21:D25" si="3">C23*12</f>
        <v>35640000</v>
      </c>
      <c r="E23" s="15"/>
      <c r="F23" s="15"/>
    </row>
    <row r="24" spans="1:6" x14ac:dyDescent="0.3">
      <c r="A24" s="12"/>
      <c r="B24" s="12"/>
      <c r="C24" s="13"/>
      <c r="D24" s="14"/>
      <c r="E24" s="15"/>
      <c r="F24" s="15"/>
    </row>
    <row r="25" spans="1:6" x14ac:dyDescent="0.3">
      <c r="A25" s="12" t="s">
        <v>15</v>
      </c>
      <c r="B25" s="12"/>
      <c r="C25" s="13"/>
      <c r="D25" s="14"/>
      <c r="E25" s="15"/>
      <c r="F25" s="15"/>
    </row>
    <row r="26" spans="1:6" x14ac:dyDescent="0.3">
      <c r="A26" s="12" t="s">
        <v>3</v>
      </c>
      <c r="B26" s="14">
        <f>C26/12000</f>
        <v>190</v>
      </c>
      <c r="C26" s="13">
        <v>2280000</v>
      </c>
      <c r="D26" s="14">
        <f>C26*12</f>
        <v>27360000</v>
      </c>
      <c r="E26" s="15"/>
      <c r="F26" s="15"/>
    </row>
    <row r="28" spans="1:6" x14ac:dyDescent="0.3">
      <c r="A28" s="30" t="s">
        <v>17</v>
      </c>
      <c r="B28" s="31" t="s">
        <v>5</v>
      </c>
      <c r="C28" s="32" t="s">
        <v>6</v>
      </c>
      <c r="D28" s="30"/>
      <c r="E28" s="33" t="s">
        <v>16</v>
      </c>
      <c r="F28" s="34"/>
    </row>
    <row r="29" spans="1:6" x14ac:dyDescent="0.3">
      <c r="A29" s="30" t="s">
        <v>13</v>
      </c>
      <c r="B29" s="30"/>
      <c r="C29" s="35"/>
      <c r="D29" s="30"/>
      <c r="E29" s="36"/>
      <c r="F29" s="37"/>
    </row>
    <row r="30" spans="1:6" x14ac:dyDescent="0.3">
      <c r="A30" s="30" t="s">
        <v>3</v>
      </c>
      <c r="B30" s="38">
        <f>C30/12000</f>
        <v>179.16666666666666</v>
      </c>
      <c r="C30" s="35">
        <v>2150000</v>
      </c>
      <c r="D30" s="38">
        <f>C30*12</f>
        <v>25800000</v>
      </c>
      <c r="E30" s="36"/>
      <c r="F30" s="37"/>
    </row>
    <row r="31" spans="1:6" x14ac:dyDescent="0.3">
      <c r="A31" s="30"/>
      <c r="B31" s="30"/>
      <c r="C31" s="35"/>
      <c r="D31" s="38"/>
      <c r="E31" s="36"/>
      <c r="F31" s="37"/>
    </row>
    <row r="32" spans="1:6" x14ac:dyDescent="0.3">
      <c r="A32" s="30" t="s">
        <v>14</v>
      </c>
      <c r="B32" s="38">
        <f>C32/12000</f>
        <v>247.5</v>
      </c>
      <c r="C32" s="35">
        <v>2970000</v>
      </c>
      <c r="D32" s="38">
        <f t="shared" ref="D31:D35" si="4">C32*12</f>
        <v>35640000</v>
      </c>
      <c r="E32" s="36"/>
      <c r="F32" s="37"/>
    </row>
    <row r="33" spans="1:6" x14ac:dyDescent="0.3">
      <c r="A33" s="30" t="s">
        <v>3</v>
      </c>
      <c r="B33" s="30"/>
      <c r="C33" s="35"/>
      <c r="D33" s="38"/>
      <c r="E33" s="36"/>
      <c r="F33" s="37"/>
    </row>
    <row r="34" spans="1:6" x14ac:dyDescent="0.3">
      <c r="A34" s="30"/>
      <c r="B34" s="30"/>
      <c r="C34" s="35"/>
      <c r="D34" s="38"/>
      <c r="E34" s="36"/>
      <c r="F34" s="37"/>
    </row>
    <row r="35" spans="1:6" x14ac:dyDescent="0.3">
      <c r="A35" s="30" t="s">
        <v>15</v>
      </c>
      <c r="B35" s="38">
        <f>C35/12000</f>
        <v>191.66666666666666</v>
      </c>
      <c r="C35" s="35">
        <v>2300000</v>
      </c>
      <c r="D35" s="38">
        <f t="shared" si="4"/>
        <v>27600000</v>
      </c>
      <c r="E35" s="36"/>
      <c r="F35" s="37"/>
    </row>
    <row r="36" spans="1:6" x14ac:dyDescent="0.3">
      <c r="A36" s="30" t="s">
        <v>3</v>
      </c>
      <c r="B36" s="30"/>
      <c r="C36" s="35"/>
      <c r="D36" s="30"/>
      <c r="E36" s="39"/>
      <c r="F36" s="40"/>
    </row>
    <row r="38" spans="1:6" x14ac:dyDescent="0.3">
      <c r="A38" s="43" t="s">
        <v>18</v>
      </c>
      <c r="B38" s="44" t="s">
        <v>5</v>
      </c>
      <c r="C38" s="45" t="s">
        <v>6</v>
      </c>
      <c r="D38" s="43"/>
      <c r="E38" s="46" t="s">
        <v>20</v>
      </c>
      <c r="F38" s="46"/>
    </row>
    <row r="39" spans="1:6" x14ac:dyDescent="0.3">
      <c r="A39" s="43" t="s">
        <v>19</v>
      </c>
      <c r="B39" s="43"/>
      <c r="C39" s="47"/>
      <c r="D39" s="43"/>
      <c r="E39" s="46"/>
      <c r="F39" s="46"/>
    </row>
    <row r="40" spans="1:6" x14ac:dyDescent="0.3">
      <c r="A40" s="43" t="s">
        <v>3</v>
      </c>
      <c r="B40" s="43">
        <v>158</v>
      </c>
      <c r="C40" s="47">
        <f>B40*12000</f>
        <v>1896000</v>
      </c>
      <c r="D40" s="48">
        <f>C40*12+C41</f>
        <v>26352000</v>
      </c>
      <c r="E40" s="46"/>
      <c r="F40" s="46"/>
    </row>
    <row r="41" spans="1:6" x14ac:dyDescent="0.3">
      <c r="A41" s="43" t="s">
        <v>21</v>
      </c>
      <c r="B41" s="43">
        <v>300</v>
      </c>
      <c r="C41" s="47">
        <f>B41*12000</f>
        <v>3600000</v>
      </c>
      <c r="D41" s="43"/>
      <c r="E41" s="46"/>
      <c r="F41" s="46"/>
    </row>
    <row r="42" spans="1:6" x14ac:dyDescent="0.3">
      <c r="A42" s="43"/>
      <c r="B42" s="43"/>
      <c r="C42" s="47"/>
      <c r="D42" s="43"/>
      <c r="E42" s="46"/>
      <c r="F42" s="46"/>
    </row>
    <row r="43" spans="1:6" x14ac:dyDescent="0.3">
      <c r="A43" s="43" t="s">
        <v>13</v>
      </c>
      <c r="B43" s="43"/>
      <c r="C43" s="47"/>
      <c r="D43" s="43"/>
      <c r="E43" s="46"/>
      <c r="F43" s="46"/>
    </row>
    <row r="44" spans="1:6" x14ac:dyDescent="0.3">
      <c r="A44" s="43" t="s">
        <v>3</v>
      </c>
      <c r="B44" s="43">
        <v>158</v>
      </c>
      <c r="C44" s="47">
        <f>B44*12000</f>
        <v>1896000</v>
      </c>
      <c r="D44" s="48">
        <f>C44*12+C45</f>
        <v>28752000</v>
      </c>
      <c r="E44" s="46"/>
      <c r="F44" s="46"/>
    </row>
    <row r="45" spans="1:6" x14ac:dyDescent="0.3">
      <c r="A45" s="43" t="s">
        <v>21</v>
      </c>
      <c r="B45" s="43">
        <v>500</v>
      </c>
      <c r="C45" s="47">
        <f>B45*12000</f>
        <v>6000000</v>
      </c>
      <c r="D45" s="43"/>
      <c r="E45" s="46"/>
      <c r="F45" s="46"/>
    </row>
    <row r="46" spans="1:6" x14ac:dyDescent="0.3">
      <c r="A46" s="43"/>
      <c r="B46" s="43"/>
      <c r="C46" s="47"/>
      <c r="D46" s="43"/>
      <c r="E46" s="46"/>
      <c r="F46" s="46"/>
    </row>
    <row r="47" spans="1:6" x14ac:dyDescent="0.3">
      <c r="A47" s="43" t="s">
        <v>14</v>
      </c>
      <c r="B47" s="43"/>
      <c r="C47" s="47"/>
      <c r="D47" s="43"/>
      <c r="E47" s="46"/>
      <c r="F47" s="46"/>
    </row>
    <row r="48" spans="1:6" x14ac:dyDescent="0.3">
      <c r="A48" s="43" t="s">
        <v>3</v>
      </c>
      <c r="B48" s="41">
        <v>191</v>
      </c>
      <c r="C48" s="42">
        <f>B48*12000</f>
        <v>2292000</v>
      </c>
      <c r="D48" s="49">
        <f>C48*12+C49</f>
        <v>34704000</v>
      </c>
      <c r="E48" s="46"/>
      <c r="F48" s="46"/>
    </row>
    <row r="49" spans="1:6" x14ac:dyDescent="0.3">
      <c r="A49" s="43" t="s">
        <v>21</v>
      </c>
      <c r="B49" s="41">
        <v>600</v>
      </c>
      <c r="C49" s="42">
        <f>B49*12000</f>
        <v>7200000</v>
      </c>
      <c r="D49" s="41"/>
      <c r="E49" s="46"/>
      <c r="F49" s="46"/>
    </row>
  </sheetData>
  <mergeCells count="5">
    <mergeCell ref="E18:F26"/>
    <mergeCell ref="E1:F10"/>
    <mergeCell ref="E12:F16"/>
    <mergeCell ref="E28:F36"/>
    <mergeCell ref="E38:F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2025-12-09T13:08:37Z</dcterms:modified>
</cp:coreProperties>
</file>